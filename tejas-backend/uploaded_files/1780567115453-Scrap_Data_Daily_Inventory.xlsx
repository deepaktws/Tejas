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AU1PEPF000009B2\EXCELCNV\503b31f4-b7a0-4940-84e1-7d9f35d51e76\"/>
    </mc:Choice>
  </mc:AlternateContent>
  <xr:revisionPtr revIDLastSave="20" documentId="8_{111C0F78-18E5-441D-89CE-93D610FE7E44}" xr6:coauthVersionLast="47" xr6:coauthVersionMax="47" xr10:uidLastSave="{C64522FE-D7D0-4440-B324-4F711732756A}"/>
  <bookViews>
    <workbookView xWindow="-60" yWindow="-60" windowWidth="15480" windowHeight="11640" xr2:uid="{F5792CD2-F9C4-48F6-99EB-295212C0DF6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2" i="1"/>
</calcChain>
</file>

<file path=xl/sharedStrings.xml><?xml version="1.0" encoding="utf-8"?>
<sst xmlns="http://schemas.openxmlformats.org/spreadsheetml/2006/main" count="78" uniqueCount="59">
  <si>
    <t>Scrap_Type</t>
  </si>
  <si>
    <t>Column of L2</t>
  </si>
  <si>
    <t>Category</t>
  </si>
  <si>
    <t>Maximum_Usage</t>
  </si>
  <si>
    <t>Cost</t>
  </si>
  <si>
    <t>Yield</t>
  </si>
  <si>
    <t>Yielded_Cost</t>
  </si>
  <si>
    <t>Inventory (Tons)</t>
  </si>
  <si>
    <t>Fe</t>
  </si>
  <si>
    <t>C</t>
  </si>
  <si>
    <t>Cu</t>
  </si>
  <si>
    <t>Ni</t>
  </si>
  <si>
    <t>Cr</t>
  </si>
  <si>
    <t>Mo</t>
  </si>
  <si>
    <t>Sn</t>
  </si>
  <si>
    <t>Si</t>
  </si>
  <si>
    <t>Mn</t>
  </si>
  <si>
    <t xml:space="preserve"> Power_Cost (0)</t>
  </si>
  <si>
    <t>Flux+C (0)</t>
  </si>
  <si>
    <t>Total</t>
  </si>
  <si>
    <t>Pig Iron</t>
  </si>
  <si>
    <t>A1</t>
  </si>
  <si>
    <t>Scrap - Plate</t>
  </si>
  <si>
    <t>A</t>
  </si>
  <si>
    <t>Busheling</t>
  </si>
  <si>
    <t>B1</t>
  </si>
  <si>
    <t>#1 Bundling</t>
  </si>
  <si>
    <t>Scrap - Mine Chain</t>
  </si>
  <si>
    <t>G</t>
  </si>
  <si>
    <t>Beach Iron</t>
  </si>
  <si>
    <t>E</t>
  </si>
  <si>
    <t>Shred</t>
  </si>
  <si>
    <t>F</t>
  </si>
  <si>
    <t>Low Cu Scrap</t>
  </si>
  <si>
    <t>Furnace Iron</t>
  </si>
  <si>
    <t>E1</t>
  </si>
  <si>
    <t>P &amp; S</t>
  </si>
  <si>
    <t>B</t>
  </si>
  <si>
    <t>Scrap - Monopile Plate</t>
  </si>
  <si>
    <t>Internal - Home Slabs</t>
  </si>
  <si>
    <t>#1 HeavyMelt</t>
  </si>
  <si>
    <t>Pit</t>
  </si>
  <si>
    <t>D</t>
  </si>
  <si>
    <t>Pot Lips Scrap</t>
  </si>
  <si>
    <t>Pot Skulls</t>
  </si>
  <si>
    <t>Pit Scrap -Tundish</t>
  </si>
  <si>
    <t>Auto Dies Scrap</t>
  </si>
  <si>
    <t>H</t>
  </si>
  <si>
    <t>3' Process Ingot</t>
  </si>
  <si>
    <t>Form Briquette</t>
  </si>
  <si>
    <t>#1 Bundle DL</t>
  </si>
  <si>
    <t>#1 DT Bun</t>
  </si>
  <si>
    <t>A Scrap</t>
  </si>
  <si>
    <t>Party Mix</t>
  </si>
  <si>
    <t>3' Rail Crops</t>
  </si>
  <si>
    <t>Auto Cast</t>
  </si>
  <si>
    <t>Machine Cast</t>
  </si>
  <si>
    <t>Auto Dies LowCu</t>
  </si>
  <si>
    <t>Auto Dies HighCu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</si>
</sst>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371CF-4388-4424-BFE8-8BC41B20DED8}">
  <dimension ref="A1:U31"/>
  <sheetViews>
    <sheetView tabSelected="1" topLeftCell="B1" workbookViewId="0">
      <selection activeCell="H2" sqref="H2"/>
    </sheetView>
  </sheetViews>
  <sheetFormatPr defaultRowHeight="15"/>
  <cols>
    <col min="1" max="2" width="32" customWidth="1"/>
    <col min="7" max="7" width="17.140625" customWidth="1"/>
    <col min="8" max="8" width="24" customWidth="1"/>
    <col min="19" max="19" width="17" customWidth="1"/>
    <col min="20" max="20" width="2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S1" s="2" t="s">
        <v>17</v>
      </c>
      <c r="T1" s="2" t="s">
        <v>18</v>
      </c>
      <c r="U1" t="s">
        <v>19</v>
      </c>
    </row>
    <row r="2" spans="1:21">
      <c r="A2" t="s">
        <v>20</v>
      </c>
      <c r="C2" t="s">
        <v>21</v>
      </c>
      <c r="D2">
        <v>0.1</v>
      </c>
      <c r="E2">
        <v>420.64</v>
      </c>
      <c r="F2">
        <v>0.95</v>
      </c>
      <c r="G2" s="2">
        <v>442.78</v>
      </c>
      <c r="H2">
        <v>28755</v>
      </c>
      <c r="I2">
        <v>95</v>
      </c>
      <c r="J2">
        <v>4.5</v>
      </c>
      <c r="K2">
        <v>0.01</v>
      </c>
      <c r="L2">
        <v>0.05</v>
      </c>
      <c r="M2">
        <v>0.03</v>
      </c>
      <c r="N2">
        <v>0.01</v>
      </c>
      <c r="O2">
        <v>0.01</v>
      </c>
      <c r="P2">
        <v>0.5</v>
      </c>
      <c r="Q2">
        <v>0.5</v>
      </c>
      <c r="S2" s="1">
        <v>11.6</v>
      </c>
      <c r="T2" s="1">
        <v>25.2</v>
      </c>
      <c r="U2" s="1">
        <f>G2+S2+T2</f>
        <v>479.58</v>
      </c>
    </row>
    <row r="3" spans="1:21">
      <c r="A3" t="s">
        <v>22</v>
      </c>
      <c r="C3" t="s">
        <v>23</v>
      </c>
      <c r="D3">
        <v>0.15</v>
      </c>
      <c r="E3">
        <v>413.52</v>
      </c>
      <c r="F3">
        <v>0.94</v>
      </c>
      <c r="G3" s="2">
        <v>439.91</v>
      </c>
      <c r="H3">
        <v>5422</v>
      </c>
      <c r="I3">
        <v>98</v>
      </c>
      <c r="J3">
        <v>0.2</v>
      </c>
      <c r="K3">
        <v>0.19</v>
      </c>
      <c r="L3">
        <v>0.12</v>
      </c>
      <c r="M3">
        <v>0.1</v>
      </c>
      <c r="N3">
        <v>0.01</v>
      </c>
      <c r="O3">
        <v>0.02</v>
      </c>
      <c r="P3">
        <v>0.6</v>
      </c>
      <c r="Q3">
        <v>0.5</v>
      </c>
      <c r="S3" s="1">
        <v>15.9</v>
      </c>
      <c r="T3" s="1">
        <v>27.6</v>
      </c>
      <c r="U3" s="1">
        <f t="shared" ref="U3:U31" si="0">G3+S3+T3</f>
        <v>483.41</v>
      </c>
    </row>
    <row r="4" spans="1:21">
      <c r="A4" t="s">
        <v>24</v>
      </c>
      <c r="C4" t="s">
        <v>25</v>
      </c>
      <c r="D4">
        <v>0.4</v>
      </c>
      <c r="E4">
        <v>411.58</v>
      </c>
      <c r="F4">
        <v>0.94</v>
      </c>
      <c r="G4" s="2">
        <v>437.85</v>
      </c>
      <c r="H4">
        <v>4513</v>
      </c>
      <c r="I4">
        <v>98</v>
      </c>
      <c r="J4">
        <v>0.1</v>
      </c>
      <c r="K4">
        <v>0.11</v>
      </c>
      <c r="L4">
        <v>0.08</v>
      </c>
      <c r="M4">
        <v>0.1</v>
      </c>
      <c r="N4">
        <v>0.03</v>
      </c>
      <c r="O4">
        <v>0.01</v>
      </c>
      <c r="P4">
        <v>0.1</v>
      </c>
      <c r="Q4">
        <v>0.5</v>
      </c>
      <c r="S4" s="1">
        <v>16.100000000000001</v>
      </c>
      <c r="T4" s="1">
        <v>27.6</v>
      </c>
      <c r="U4" s="1">
        <f t="shared" si="0"/>
        <v>481.55000000000007</v>
      </c>
    </row>
    <row r="5" spans="1:21">
      <c r="A5" t="s">
        <v>26</v>
      </c>
      <c r="C5" t="s">
        <v>23</v>
      </c>
      <c r="D5">
        <v>0.2</v>
      </c>
      <c r="E5">
        <v>409.7</v>
      </c>
      <c r="F5">
        <v>0.88</v>
      </c>
      <c r="G5" s="2">
        <v>465.57</v>
      </c>
      <c r="H5">
        <v>949</v>
      </c>
      <c r="I5">
        <v>98</v>
      </c>
      <c r="J5">
        <v>0.06</v>
      </c>
      <c r="K5">
        <v>0.13</v>
      </c>
      <c r="L5">
        <v>0.05</v>
      </c>
      <c r="M5">
        <v>0.05</v>
      </c>
      <c r="N5">
        <v>1.4999999999999999E-2</v>
      </c>
      <c r="O5">
        <v>3.0000000000000001E-3</v>
      </c>
      <c r="P5">
        <v>0.1</v>
      </c>
      <c r="Q5">
        <v>0.32</v>
      </c>
      <c r="S5" s="1">
        <v>15.2</v>
      </c>
      <c r="T5" s="1">
        <v>30</v>
      </c>
      <c r="U5" s="1">
        <f t="shared" si="0"/>
        <v>510.77</v>
      </c>
    </row>
    <row r="6" spans="1:21">
      <c r="A6" t="s">
        <v>27</v>
      </c>
      <c r="C6" t="s">
        <v>28</v>
      </c>
      <c r="D6">
        <v>0.09</v>
      </c>
      <c r="E6">
        <v>416.11</v>
      </c>
      <c r="F6">
        <v>0.95</v>
      </c>
      <c r="G6" s="2">
        <v>438.01</v>
      </c>
      <c r="H6">
        <v>0</v>
      </c>
      <c r="I6">
        <v>98</v>
      </c>
      <c r="J6">
        <v>0.8</v>
      </c>
      <c r="K6">
        <v>0.28000000000000003</v>
      </c>
      <c r="L6">
        <v>0.88</v>
      </c>
      <c r="M6">
        <v>0.45</v>
      </c>
      <c r="N6">
        <v>0.28000000000000003</v>
      </c>
      <c r="O6">
        <v>0</v>
      </c>
      <c r="P6">
        <v>0.32</v>
      </c>
      <c r="Q6">
        <v>0.75</v>
      </c>
      <c r="S6" s="1">
        <v>15.9</v>
      </c>
      <c r="T6" s="1">
        <v>26.4</v>
      </c>
      <c r="U6" s="1">
        <f t="shared" si="0"/>
        <v>480.30999999999995</v>
      </c>
    </row>
    <row r="7" spans="1:21">
      <c r="A7" t="s">
        <v>29</v>
      </c>
      <c r="C7" t="s">
        <v>30</v>
      </c>
      <c r="D7">
        <v>0.08</v>
      </c>
      <c r="E7">
        <v>399.16</v>
      </c>
      <c r="F7">
        <v>0.88</v>
      </c>
      <c r="G7" s="2">
        <v>453.59</v>
      </c>
      <c r="H7">
        <v>2551</v>
      </c>
      <c r="I7">
        <v>90</v>
      </c>
      <c r="J7">
        <v>4.1399999999999997</v>
      </c>
      <c r="K7">
        <v>0.02</v>
      </c>
      <c r="L7">
        <v>0.06</v>
      </c>
      <c r="M7">
        <v>0.15</v>
      </c>
      <c r="N7">
        <v>0.02</v>
      </c>
      <c r="O7">
        <v>0</v>
      </c>
      <c r="P7">
        <v>0.35</v>
      </c>
      <c r="Q7">
        <v>0.23</v>
      </c>
      <c r="S7" s="1">
        <v>22</v>
      </c>
      <c r="T7" s="1">
        <v>33.6</v>
      </c>
      <c r="U7" s="1">
        <f t="shared" si="0"/>
        <v>509.19</v>
      </c>
    </row>
    <row r="8" spans="1:21">
      <c r="A8" t="s">
        <v>31</v>
      </c>
      <c r="C8" t="s">
        <v>32</v>
      </c>
      <c r="D8">
        <v>0.45</v>
      </c>
      <c r="E8">
        <v>389.7</v>
      </c>
      <c r="F8">
        <v>0.89</v>
      </c>
      <c r="G8" s="2">
        <v>437.87</v>
      </c>
      <c r="H8">
        <v>11802</v>
      </c>
      <c r="I8">
        <v>95</v>
      </c>
      <c r="J8">
        <v>0.2</v>
      </c>
      <c r="K8">
        <v>0.38</v>
      </c>
      <c r="L8">
        <v>0.14000000000000001</v>
      </c>
      <c r="M8">
        <v>0.12</v>
      </c>
      <c r="N8">
        <v>0.03</v>
      </c>
      <c r="O8">
        <v>0.02</v>
      </c>
      <c r="P8">
        <v>0.2</v>
      </c>
      <c r="Q8">
        <v>0.35</v>
      </c>
      <c r="S8" s="1">
        <v>13.2</v>
      </c>
      <c r="T8" s="1">
        <v>30</v>
      </c>
      <c r="U8" s="1">
        <f t="shared" si="0"/>
        <v>481.07</v>
      </c>
    </row>
    <row r="9" spans="1:21">
      <c r="A9" t="s">
        <v>33</v>
      </c>
      <c r="C9" t="s">
        <v>32</v>
      </c>
      <c r="D9">
        <v>0.45</v>
      </c>
      <c r="E9">
        <v>399.63</v>
      </c>
      <c r="F9">
        <v>0.86</v>
      </c>
      <c r="G9" s="2">
        <v>464.69</v>
      </c>
      <c r="H9">
        <v>1955</v>
      </c>
      <c r="I9">
        <v>95</v>
      </c>
      <c r="J9">
        <v>0.2</v>
      </c>
      <c r="K9">
        <v>0.17</v>
      </c>
      <c r="L9">
        <v>0.14000000000000001</v>
      </c>
      <c r="M9">
        <v>0.12</v>
      </c>
      <c r="N9">
        <v>0.03</v>
      </c>
      <c r="O9">
        <v>0.02</v>
      </c>
      <c r="P9">
        <v>0.2</v>
      </c>
      <c r="Q9">
        <v>0.35</v>
      </c>
      <c r="S9" s="1">
        <v>13.2</v>
      </c>
      <c r="T9" s="1">
        <v>30</v>
      </c>
      <c r="U9" s="1">
        <f t="shared" si="0"/>
        <v>507.89</v>
      </c>
    </row>
    <row r="10" spans="1:21">
      <c r="A10" t="s">
        <v>34</v>
      </c>
      <c r="C10" t="s">
        <v>35</v>
      </c>
      <c r="D10">
        <v>0.08</v>
      </c>
      <c r="E10">
        <v>376.93</v>
      </c>
      <c r="F10">
        <v>0.84</v>
      </c>
      <c r="G10" s="2">
        <v>448.73</v>
      </c>
      <c r="H10">
        <v>2763</v>
      </c>
      <c r="I10">
        <v>90</v>
      </c>
      <c r="J10">
        <v>3.9</v>
      </c>
      <c r="K10">
        <v>0.03</v>
      </c>
      <c r="L10">
        <v>0.05</v>
      </c>
      <c r="M10">
        <v>0.05</v>
      </c>
      <c r="N10">
        <v>0.02</v>
      </c>
      <c r="O10">
        <v>0.02</v>
      </c>
      <c r="P10">
        <v>0.45</v>
      </c>
      <c r="Q10">
        <v>0.36</v>
      </c>
      <c r="S10" s="1">
        <v>18.899999999999999</v>
      </c>
      <c r="T10" s="1">
        <v>34.799999999999997</v>
      </c>
      <c r="U10" s="1">
        <f t="shared" si="0"/>
        <v>502.43</v>
      </c>
    </row>
    <row r="11" spans="1:21">
      <c r="A11" t="s">
        <v>36</v>
      </c>
      <c r="C11" t="s">
        <v>37</v>
      </c>
      <c r="D11">
        <v>0.4</v>
      </c>
      <c r="E11">
        <v>376.49</v>
      </c>
      <c r="F11">
        <v>0.88</v>
      </c>
      <c r="G11" s="2">
        <v>427.83</v>
      </c>
      <c r="H11">
        <v>1803</v>
      </c>
      <c r="I11">
        <v>98</v>
      </c>
      <c r="J11">
        <v>0.25</v>
      </c>
      <c r="K11">
        <v>0.2</v>
      </c>
      <c r="L11">
        <v>0.108</v>
      </c>
      <c r="M11">
        <v>0.112</v>
      </c>
      <c r="N11">
        <v>1.6E-2</v>
      </c>
      <c r="O11">
        <v>0.02</v>
      </c>
      <c r="P11">
        <v>0.25</v>
      </c>
      <c r="Q11">
        <v>0.879</v>
      </c>
      <c r="S11" s="1">
        <v>17.600000000000001</v>
      </c>
      <c r="T11" s="1">
        <v>31.2</v>
      </c>
      <c r="U11" s="1">
        <f t="shared" si="0"/>
        <v>476.63</v>
      </c>
    </row>
    <row r="12" spans="1:21">
      <c r="A12" t="s">
        <v>38</v>
      </c>
      <c r="C12" t="s">
        <v>9</v>
      </c>
      <c r="D12">
        <v>0.15</v>
      </c>
      <c r="E12">
        <v>310.20999999999998</v>
      </c>
      <c r="F12">
        <v>0.95</v>
      </c>
      <c r="G12" s="2">
        <v>326.54000000000002</v>
      </c>
      <c r="H12">
        <v>0</v>
      </c>
      <c r="I12">
        <v>96</v>
      </c>
      <c r="J12">
        <v>0.06</v>
      </c>
      <c r="K12">
        <v>0.05</v>
      </c>
      <c r="L12">
        <v>0.04</v>
      </c>
      <c r="M12">
        <v>0.05</v>
      </c>
      <c r="N12">
        <v>0.01</v>
      </c>
      <c r="O12">
        <v>0.01</v>
      </c>
      <c r="P12">
        <v>0.35</v>
      </c>
      <c r="Q12">
        <v>1.35</v>
      </c>
      <c r="S12" s="1">
        <v>15.9</v>
      </c>
      <c r="T12" s="1">
        <v>26.4</v>
      </c>
      <c r="U12" s="1">
        <f t="shared" si="0"/>
        <v>368.84</v>
      </c>
    </row>
    <row r="13" spans="1:21">
      <c r="A13" t="s">
        <v>39</v>
      </c>
      <c r="C13" t="s">
        <v>37</v>
      </c>
      <c r="D13">
        <v>0.05</v>
      </c>
      <c r="E13">
        <v>342.01</v>
      </c>
      <c r="F13">
        <v>0.96</v>
      </c>
      <c r="G13" s="2">
        <v>356.26</v>
      </c>
      <c r="H13">
        <v>60</v>
      </c>
      <c r="I13">
        <v>98</v>
      </c>
      <c r="J13">
        <v>0.2</v>
      </c>
      <c r="K13">
        <v>0.13</v>
      </c>
      <c r="L13">
        <v>0.12</v>
      </c>
      <c r="M13">
        <v>0.1</v>
      </c>
      <c r="N13">
        <v>0.01</v>
      </c>
      <c r="O13">
        <v>0.02</v>
      </c>
      <c r="P13">
        <v>0.6</v>
      </c>
      <c r="Q13">
        <v>0.5</v>
      </c>
      <c r="S13" s="1">
        <v>17.5</v>
      </c>
      <c r="T13" s="1">
        <v>26.4</v>
      </c>
      <c r="U13" s="1">
        <f t="shared" si="0"/>
        <v>400.15999999999997</v>
      </c>
    </row>
    <row r="14" spans="1:21">
      <c r="A14" t="s">
        <v>40</v>
      </c>
      <c r="C14" t="s">
        <v>28</v>
      </c>
      <c r="D14">
        <v>0.3</v>
      </c>
      <c r="E14">
        <v>315.76</v>
      </c>
      <c r="F14">
        <v>0.86</v>
      </c>
      <c r="G14" s="2">
        <v>367.16</v>
      </c>
      <c r="H14">
        <v>3194</v>
      </c>
      <c r="I14">
        <v>96</v>
      </c>
      <c r="J14">
        <v>0.3</v>
      </c>
      <c r="K14">
        <v>0.35</v>
      </c>
      <c r="L14">
        <v>0.12</v>
      </c>
      <c r="M14">
        <v>0.15</v>
      </c>
      <c r="N14">
        <v>0.03</v>
      </c>
      <c r="O14">
        <v>0.15</v>
      </c>
      <c r="P14">
        <v>0.35</v>
      </c>
      <c r="Q14">
        <v>0.06</v>
      </c>
      <c r="S14" s="1">
        <v>17.5</v>
      </c>
      <c r="T14" s="1">
        <v>30</v>
      </c>
      <c r="U14" s="1">
        <f t="shared" si="0"/>
        <v>414.66</v>
      </c>
    </row>
    <row r="15" spans="1:21">
      <c r="A15" t="s">
        <v>41</v>
      </c>
      <c r="C15" t="s">
        <v>42</v>
      </c>
      <c r="D15">
        <v>0.1</v>
      </c>
      <c r="E15">
        <v>338.97</v>
      </c>
      <c r="F15">
        <v>0.8</v>
      </c>
      <c r="G15" s="2">
        <v>423.71</v>
      </c>
      <c r="H15">
        <v>961</v>
      </c>
      <c r="I15">
        <v>85</v>
      </c>
      <c r="J15">
        <v>0.2</v>
      </c>
      <c r="K15">
        <v>0.2</v>
      </c>
      <c r="L15">
        <v>0.12</v>
      </c>
      <c r="M15">
        <v>0.1</v>
      </c>
      <c r="N15">
        <v>0.03</v>
      </c>
      <c r="O15">
        <v>0.02</v>
      </c>
      <c r="P15">
        <v>0.3</v>
      </c>
      <c r="Q15">
        <v>0.6</v>
      </c>
      <c r="S15" s="1">
        <v>20.8</v>
      </c>
      <c r="T15" s="1">
        <v>33.6</v>
      </c>
      <c r="U15" s="1">
        <f t="shared" si="0"/>
        <v>478.11</v>
      </c>
    </row>
    <row r="16" spans="1:21">
      <c r="A16" t="s">
        <v>43</v>
      </c>
      <c r="C16" t="s">
        <v>42</v>
      </c>
      <c r="D16">
        <v>0.08</v>
      </c>
      <c r="E16">
        <v>337.01</v>
      </c>
      <c r="F16">
        <v>0.86</v>
      </c>
      <c r="G16" s="2">
        <v>391.87</v>
      </c>
      <c r="H16">
        <v>0</v>
      </c>
      <c r="I16">
        <v>88</v>
      </c>
      <c r="J16">
        <v>0.04</v>
      </c>
      <c r="K16">
        <v>0.11</v>
      </c>
      <c r="L16">
        <v>4.4999999999999998E-2</v>
      </c>
      <c r="M16">
        <v>2.5999999999999999E-2</v>
      </c>
      <c r="N16">
        <v>0.02</v>
      </c>
      <c r="O16">
        <v>3.0000000000000001E-3</v>
      </c>
      <c r="P16">
        <v>0.37</v>
      </c>
      <c r="Q16">
        <v>0.66</v>
      </c>
      <c r="S16" s="1">
        <v>20.2</v>
      </c>
      <c r="T16" s="1">
        <v>32.4</v>
      </c>
      <c r="U16" s="1">
        <f t="shared" si="0"/>
        <v>444.46999999999997</v>
      </c>
    </row>
    <row r="17" spans="1:21">
      <c r="A17" t="s">
        <v>44</v>
      </c>
      <c r="C17" t="s">
        <v>42</v>
      </c>
      <c r="D17">
        <v>0.08</v>
      </c>
      <c r="E17">
        <v>344.39</v>
      </c>
      <c r="F17">
        <v>0.85</v>
      </c>
      <c r="G17" s="2">
        <v>405.16</v>
      </c>
      <c r="H17">
        <v>4722</v>
      </c>
      <c r="I17">
        <v>88</v>
      </c>
      <c r="J17">
        <v>3.5999999999999997E-2</v>
      </c>
      <c r="K17">
        <v>0.11</v>
      </c>
      <c r="L17">
        <v>7.0000000000000007E-2</v>
      </c>
      <c r="M17">
        <v>7.0000000000000007E-2</v>
      </c>
      <c r="N17">
        <v>0.02</v>
      </c>
      <c r="O17">
        <v>0.01</v>
      </c>
      <c r="P17">
        <v>0.2</v>
      </c>
      <c r="Q17">
        <v>0.35</v>
      </c>
      <c r="S17" s="1">
        <v>20.2</v>
      </c>
      <c r="T17" s="1">
        <v>36</v>
      </c>
      <c r="U17" s="1">
        <f t="shared" si="0"/>
        <v>461.36</v>
      </c>
    </row>
    <row r="18" spans="1:21">
      <c r="A18" t="s">
        <v>45</v>
      </c>
      <c r="C18" t="s">
        <v>37</v>
      </c>
      <c r="D18">
        <v>0.05</v>
      </c>
      <c r="E18">
        <v>342.09</v>
      </c>
      <c r="F18">
        <v>0.88</v>
      </c>
      <c r="G18" s="2">
        <v>388.74</v>
      </c>
      <c r="H18">
        <v>79</v>
      </c>
      <c r="I18">
        <v>85</v>
      </c>
      <c r="J18">
        <v>0.2</v>
      </c>
      <c r="K18">
        <v>0.18</v>
      </c>
      <c r="L18">
        <v>0.12</v>
      </c>
      <c r="M18">
        <v>0.1</v>
      </c>
      <c r="N18">
        <v>0.03</v>
      </c>
      <c r="O18">
        <v>0.02</v>
      </c>
      <c r="P18">
        <v>0.3</v>
      </c>
      <c r="Q18">
        <v>0.6</v>
      </c>
      <c r="S18" s="1">
        <v>19.399999999999999</v>
      </c>
      <c r="T18" s="1">
        <v>30</v>
      </c>
      <c r="U18" s="1">
        <f t="shared" si="0"/>
        <v>438.14</v>
      </c>
    </row>
    <row r="19" spans="1:21">
      <c r="A19" t="s">
        <v>46</v>
      </c>
      <c r="C19" t="s">
        <v>47</v>
      </c>
      <c r="D19">
        <v>0.15</v>
      </c>
      <c r="E19">
        <v>388.73</v>
      </c>
      <c r="F19">
        <v>0.92</v>
      </c>
      <c r="G19" s="2">
        <v>422.53</v>
      </c>
      <c r="H19">
        <v>195</v>
      </c>
      <c r="I19">
        <v>96</v>
      </c>
      <c r="J19">
        <v>2</v>
      </c>
      <c r="K19">
        <v>0.12</v>
      </c>
      <c r="L19">
        <v>0.08</v>
      </c>
      <c r="M19">
        <v>7.0000000000000007E-2</v>
      </c>
      <c r="N19">
        <v>0.02</v>
      </c>
      <c r="O19">
        <v>0</v>
      </c>
      <c r="P19">
        <v>0.3</v>
      </c>
      <c r="Q19">
        <v>0.65</v>
      </c>
      <c r="S19" s="1">
        <v>17.3</v>
      </c>
      <c r="T19" s="1">
        <v>27.6</v>
      </c>
      <c r="U19" s="1">
        <f t="shared" si="0"/>
        <v>467.43</v>
      </c>
    </row>
    <row r="20" spans="1:21">
      <c r="A20" t="s">
        <v>48</v>
      </c>
      <c r="C20" t="s">
        <v>9</v>
      </c>
      <c r="D20">
        <v>0.15</v>
      </c>
      <c r="E20">
        <v>375.66</v>
      </c>
      <c r="F20">
        <v>0.93</v>
      </c>
      <c r="G20" s="2">
        <v>403.94</v>
      </c>
      <c r="H20">
        <v>135</v>
      </c>
      <c r="I20">
        <v>95</v>
      </c>
      <c r="J20">
        <v>3.7</v>
      </c>
      <c r="K20">
        <v>4.8000000000000001E-2</v>
      </c>
      <c r="L20">
        <v>3.4000000000000002E-2</v>
      </c>
      <c r="M20">
        <v>5.6000000000000001E-2</v>
      </c>
      <c r="N20">
        <v>0.02</v>
      </c>
      <c r="O20">
        <v>0</v>
      </c>
      <c r="P20">
        <v>1.5</v>
      </c>
      <c r="Q20">
        <v>7.65</v>
      </c>
      <c r="S20" s="1">
        <v>12.5</v>
      </c>
      <c r="T20" s="1">
        <v>27.6</v>
      </c>
      <c r="U20" s="1">
        <f t="shared" si="0"/>
        <v>444.04</v>
      </c>
    </row>
    <row r="21" spans="1:21">
      <c r="A21" t="s">
        <v>49</v>
      </c>
      <c r="C21" t="s">
        <v>9</v>
      </c>
      <c r="D21">
        <v>0.15</v>
      </c>
      <c r="E21">
        <v>325.2</v>
      </c>
      <c r="F21">
        <v>0.8</v>
      </c>
      <c r="G21" s="2">
        <v>406.5</v>
      </c>
      <c r="H21">
        <v>0</v>
      </c>
      <c r="I21">
        <v>90.29</v>
      </c>
      <c r="J21">
        <v>2.86</v>
      </c>
      <c r="K21">
        <v>0.01</v>
      </c>
      <c r="L21">
        <v>0.7</v>
      </c>
      <c r="M21">
        <v>0.03</v>
      </c>
      <c r="N21">
        <v>0.01</v>
      </c>
      <c r="O21">
        <v>0.01</v>
      </c>
      <c r="P21">
        <v>0.67</v>
      </c>
      <c r="Q21">
        <v>0.67</v>
      </c>
      <c r="S21" s="1">
        <v>30.4</v>
      </c>
      <c r="T21" s="1">
        <v>33.6</v>
      </c>
      <c r="U21" s="1">
        <f t="shared" si="0"/>
        <v>470.5</v>
      </c>
    </row>
    <row r="22" spans="1:21">
      <c r="A22" t="s">
        <v>50</v>
      </c>
      <c r="C22" t="s">
        <v>9</v>
      </c>
      <c r="D22">
        <v>0.1</v>
      </c>
      <c r="E22">
        <v>356.9</v>
      </c>
      <c r="F22">
        <v>0.86</v>
      </c>
      <c r="G22" s="2">
        <v>415</v>
      </c>
      <c r="H22">
        <v>0</v>
      </c>
      <c r="I22">
        <v>98</v>
      </c>
      <c r="J22">
        <v>0.06</v>
      </c>
      <c r="K22">
        <v>0.1</v>
      </c>
      <c r="L22">
        <v>0.1</v>
      </c>
      <c r="M22">
        <v>0.1</v>
      </c>
      <c r="N22">
        <v>1.4999999999999999E-2</v>
      </c>
      <c r="O22">
        <v>0.01</v>
      </c>
      <c r="P22">
        <v>0.1</v>
      </c>
      <c r="Q22">
        <v>1.5</v>
      </c>
      <c r="S22" s="1">
        <v>18.3</v>
      </c>
      <c r="T22" s="1">
        <v>30</v>
      </c>
      <c r="U22" s="1">
        <f t="shared" si="0"/>
        <v>463.3</v>
      </c>
    </row>
    <row r="23" spans="1:21">
      <c r="A23" t="s">
        <v>51</v>
      </c>
      <c r="C23" t="s">
        <v>9</v>
      </c>
      <c r="D23">
        <v>0</v>
      </c>
      <c r="E23">
        <v>395.19</v>
      </c>
      <c r="F23">
        <v>0.9</v>
      </c>
      <c r="G23" s="2">
        <v>439.1</v>
      </c>
      <c r="H23">
        <v>745</v>
      </c>
      <c r="I23">
        <v>98</v>
      </c>
      <c r="J23">
        <v>0.08</v>
      </c>
      <c r="K23">
        <v>0.06</v>
      </c>
      <c r="L23">
        <v>0.06</v>
      </c>
      <c r="M23">
        <v>0.06</v>
      </c>
      <c r="N23">
        <v>0.02</v>
      </c>
      <c r="O23">
        <v>0.03</v>
      </c>
      <c r="P23">
        <v>0.05</v>
      </c>
      <c r="Q23">
        <v>0.5</v>
      </c>
      <c r="S23" s="1">
        <v>18.3</v>
      </c>
      <c r="T23" s="1">
        <v>28.8</v>
      </c>
      <c r="U23" s="1">
        <f t="shared" si="0"/>
        <v>486.20000000000005</v>
      </c>
    </row>
    <row r="24" spans="1:21">
      <c r="A24" t="s">
        <v>52</v>
      </c>
      <c r="C24" t="s">
        <v>42</v>
      </c>
      <c r="D24">
        <v>0.1</v>
      </c>
      <c r="E24">
        <v>338.97</v>
      </c>
      <c r="F24">
        <v>0.8</v>
      </c>
      <c r="G24" s="2">
        <v>423.71</v>
      </c>
      <c r="H24">
        <v>225</v>
      </c>
      <c r="I24">
        <v>95</v>
      </c>
      <c r="J24">
        <v>0.2</v>
      </c>
      <c r="K24">
        <v>0.2</v>
      </c>
      <c r="L24">
        <v>0.12</v>
      </c>
      <c r="M24">
        <v>0.1</v>
      </c>
      <c r="N24">
        <v>0.03</v>
      </c>
      <c r="O24">
        <v>0.02</v>
      </c>
      <c r="P24">
        <v>0.3</v>
      </c>
      <c r="Q24">
        <v>0.6</v>
      </c>
      <c r="S24" s="1">
        <v>17.5</v>
      </c>
      <c r="T24" s="1">
        <v>31.2</v>
      </c>
      <c r="U24" s="1">
        <f t="shared" si="0"/>
        <v>472.40999999999997</v>
      </c>
    </row>
    <row r="25" spans="1:21">
      <c r="A25" t="s">
        <v>53</v>
      </c>
      <c r="C25" t="s">
        <v>42</v>
      </c>
      <c r="D25">
        <v>0.1</v>
      </c>
      <c r="E25">
        <v>349.15</v>
      </c>
      <c r="F25">
        <v>0.85</v>
      </c>
      <c r="G25" s="2">
        <v>410.76</v>
      </c>
      <c r="H25">
        <v>0</v>
      </c>
      <c r="I25">
        <v>92</v>
      </c>
      <c r="J25">
        <v>0.3</v>
      </c>
      <c r="K25">
        <v>0.18</v>
      </c>
      <c r="L25">
        <v>0.15</v>
      </c>
      <c r="M25">
        <v>0.1</v>
      </c>
      <c r="N25">
        <v>0.02</v>
      </c>
      <c r="O25">
        <v>0.01</v>
      </c>
      <c r="P25">
        <v>0.15</v>
      </c>
      <c r="Q25">
        <v>0.6</v>
      </c>
      <c r="S25" s="1">
        <v>17.3</v>
      </c>
      <c r="T25" s="1">
        <v>32.4</v>
      </c>
      <c r="U25" s="1">
        <f t="shared" si="0"/>
        <v>460.46</v>
      </c>
    </row>
    <row r="26" spans="1:21">
      <c r="A26" t="s">
        <v>54</v>
      </c>
      <c r="C26" t="s">
        <v>9</v>
      </c>
      <c r="D26">
        <v>0.1</v>
      </c>
      <c r="E26">
        <v>359.1</v>
      </c>
      <c r="F26">
        <v>0.92</v>
      </c>
      <c r="G26" s="2">
        <v>390.33</v>
      </c>
      <c r="H26">
        <v>0</v>
      </c>
      <c r="I26">
        <v>95</v>
      </c>
      <c r="J26">
        <v>1</v>
      </c>
      <c r="K26">
        <v>0.19</v>
      </c>
      <c r="L26">
        <v>0.11</v>
      </c>
      <c r="M26">
        <v>0.11</v>
      </c>
      <c r="N26">
        <v>0.02</v>
      </c>
      <c r="O26">
        <v>0.3</v>
      </c>
      <c r="P26">
        <v>0.6</v>
      </c>
      <c r="Q26">
        <v>0.87</v>
      </c>
      <c r="S26" s="1">
        <v>17.3</v>
      </c>
      <c r="T26" s="1">
        <v>27.6</v>
      </c>
      <c r="U26" s="1">
        <f t="shared" si="0"/>
        <v>435.23</v>
      </c>
    </row>
    <row r="27" spans="1:21">
      <c r="A27" t="s">
        <v>55</v>
      </c>
      <c r="C27" t="s">
        <v>47</v>
      </c>
      <c r="D27">
        <v>0.2</v>
      </c>
      <c r="E27">
        <v>410.71</v>
      </c>
      <c r="F27">
        <v>0.92</v>
      </c>
      <c r="G27" s="2">
        <v>446.42</v>
      </c>
      <c r="H27">
        <v>285</v>
      </c>
      <c r="I27">
        <v>93</v>
      </c>
      <c r="J27">
        <v>3.25</v>
      </c>
      <c r="K27">
        <v>0.35</v>
      </c>
      <c r="L27">
        <v>6.5000000000000002E-2</v>
      </c>
      <c r="M27">
        <v>5.5E-2</v>
      </c>
      <c r="N27">
        <v>7.4999999999999997E-2</v>
      </c>
      <c r="O27">
        <v>0.05</v>
      </c>
      <c r="P27">
        <v>2</v>
      </c>
      <c r="Q27">
        <v>0.8</v>
      </c>
      <c r="U27" s="1">
        <f t="shared" si="0"/>
        <v>446.42</v>
      </c>
    </row>
    <row r="28" spans="1:21">
      <c r="A28" t="s">
        <v>56</v>
      </c>
      <c r="C28" t="s">
        <v>47</v>
      </c>
      <c r="D28">
        <v>0.2</v>
      </c>
      <c r="E28">
        <v>392.86</v>
      </c>
      <c r="F28">
        <v>0.92</v>
      </c>
      <c r="G28" s="2">
        <v>427.02</v>
      </c>
      <c r="H28">
        <v>199</v>
      </c>
      <c r="I28">
        <v>93</v>
      </c>
      <c r="J28">
        <v>3.5</v>
      </c>
      <c r="K28">
        <v>0.35</v>
      </c>
      <c r="L28">
        <v>0.1</v>
      </c>
      <c r="M28">
        <v>6.5000000000000002E-2</v>
      </c>
      <c r="N28">
        <v>7.4999999999999997E-2</v>
      </c>
      <c r="O28">
        <v>0.05</v>
      </c>
      <c r="P28">
        <v>2</v>
      </c>
      <c r="Q28">
        <v>0.65</v>
      </c>
      <c r="U28" s="1">
        <f t="shared" si="0"/>
        <v>427.02</v>
      </c>
    </row>
    <row r="29" spans="1:21">
      <c r="A29" t="s">
        <v>57</v>
      </c>
      <c r="C29" t="s">
        <v>47</v>
      </c>
      <c r="D29">
        <v>0.2</v>
      </c>
      <c r="E29">
        <v>375</v>
      </c>
      <c r="F29">
        <v>0.92</v>
      </c>
      <c r="G29" s="2">
        <v>407.61</v>
      </c>
      <c r="H29">
        <v>0</v>
      </c>
      <c r="I29">
        <v>93</v>
      </c>
      <c r="J29">
        <v>3.25</v>
      </c>
      <c r="K29">
        <v>0.2</v>
      </c>
      <c r="L29">
        <v>0.11</v>
      </c>
      <c r="M29">
        <v>0.125</v>
      </c>
      <c r="N29">
        <v>7.4999999999999997E-2</v>
      </c>
      <c r="O29">
        <v>0.05</v>
      </c>
      <c r="P29">
        <v>2</v>
      </c>
      <c r="Q29">
        <v>0.61199999999999999</v>
      </c>
      <c r="U29" s="1">
        <f t="shared" si="0"/>
        <v>407.61</v>
      </c>
    </row>
    <row r="30" spans="1:21">
      <c r="A30" t="s">
        <v>58</v>
      </c>
      <c r="C30" t="s">
        <v>47</v>
      </c>
      <c r="D30">
        <v>0.2</v>
      </c>
      <c r="E30">
        <v>375</v>
      </c>
      <c r="F30">
        <v>0.92</v>
      </c>
      <c r="G30" s="2">
        <v>407.61</v>
      </c>
      <c r="H30">
        <v>0</v>
      </c>
      <c r="I30">
        <v>93</v>
      </c>
      <c r="J30">
        <v>3.25</v>
      </c>
      <c r="K30">
        <v>0.35</v>
      </c>
      <c r="L30">
        <v>0.11</v>
      </c>
      <c r="M30">
        <v>0.125</v>
      </c>
      <c r="N30">
        <v>7.4999999999999997E-2</v>
      </c>
      <c r="O30">
        <v>0.05</v>
      </c>
      <c r="P30">
        <v>2</v>
      </c>
      <c r="Q30">
        <v>0.61199999999999999</v>
      </c>
      <c r="U30" s="1">
        <f t="shared" si="0"/>
        <v>407.61</v>
      </c>
    </row>
    <row r="31" spans="1:21">
      <c r="U31" s="1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Ankita Kadam</cp:lastModifiedBy>
  <cp:revision/>
  <dcterms:created xsi:type="dcterms:W3CDTF">2026-06-04T05:36:03Z</dcterms:created>
  <dcterms:modified xsi:type="dcterms:W3CDTF">2026-06-04T05:44:41Z</dcterms:modified>
  <cp:category/>
  <cp:contentStatus/>
</cp:coreProperties>
</file>